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MR_Projects\IMR\Softcore_SA_P2\Documents\Calculations\"/>
    </mc:Choice>
  </mc:AlternateContent>
  <xr:revisionPtr revIDLastSave="0" documentId="13_ncr:1_{A7DA8BA4-D5CB-48BF-9232-277F9D51D86E}" xr6:coauthVersionLast="47" xr6:coauthVersionMax="47" xr10:uidLastSave="{00000000-0000-0000-0000-000000000000}"/>
  <bookViews>
    <workbookView xWindow="-120" yWindow="-120" windowWidth="29040" windowHeight="15720" xr2:uid="{4496AADA-B468-47F6-A0CD-D0F34E278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5" i="1"/>
  <c r="F24" i="1"/>
  <c r="F23" i="1"/>
  <c r="B20" i="1"/>
  <c r="B26" i="1"/>
  <c r="B18" i="1"/>
  <c r="B21" i="1" s="1"/>
  <c r="F19" i="1" s="1"/>
  <c r="F21" i="1" l="1"/>
  <c r="F22" i="1"/>
  <c r="F27" i="1" s="1"/>
  <c r="B27" i="1"/>
  <c r="B19" i="1"/>
  <c r="B22" i="1" s="1"/>
  <c r="B30" i="1" l="1"/>
  <c r="B28" i="1"/>
  <c r="B29" i="1" s="1"/>
</calcChain>
</file>

<file path=xl/sharedStrings.xml><?xml version="1.0" encoding="utf-8"?>
<sst xmlns="http://schemas.openxmlformats.org/spreadsheetml/2006/main" count="85" uniqueCount="61">
  <si>
    <t>INPUTS</t>
  </si>
  <si>
    <t>Hz</t>
  </si>
  <si>
    <t>CONSTANTS</t>
  </si>
  <si>
    <t>Cycles</t>
  </si>
  <si>
    <t>MicroBlaze Clock</t>
  </si>
  <si>
    <t>FFT Size (N)</t>
  </si>
  <si>
    <t>Desired Span (DS)</t>
  </si>
  <si>
    <t>Center Frequency Example (Fc)</t>
  </si>
  <si>
    <t>ADC Sample Rate (Fs)</t>
  </si>
  <si>
    <t>Decimation Sample Rate</t>
  </si>
  <si>
    <t>ADC Samples per FFT Frame</t>
  </si>
  <si>
    <t>CALCULATED RESULTS LATENCY</t>
  </si>
  <si>
    <t>ADC Acquire Time per FFT Frame</t>
  </si>
  <si>
    <t>UNITS</t>
  </si>
  <si>
    <t>ADC Bytes Per Sample (12b)</t>
  </si>
  <si>
    <t>Bytes</t>
  </si>
  <si>
    <t>CALCULATED RESOURCES</t>
  </si>
  <si>
    <t>CALCULATED BASE RESULTS</t>
  </si>
  <si>
    <t>KB</t>
  </si>
  <si>
    <t>LMB Presently Used</t>
  </si>
  <si>
    <t xml:space="preserve">Total LBM </t>
  </si>
  <si>
    <t>Max FFT Frames loaded to FIFO</t>
  </si>
  <si>
    <t>Zoom RBW</t>
  </si>
  <si>
    <t>RAM remaining after FIFO use</t>
  </si>
  <si>
    <t xml:space="preserve">RAM Available </t>
  </si>
  <si>
    <t>RAM required per FFT frame</t>
  </si>
  <si>
    <t>Max FIFO to FW Buffer Transfer</t>
  </si>
  <si>
    <t>ms</t>
  </si>
  <si>
    <t>FFT ZOOM VIA DIGITAL DOWN CONVERSION</t>
  </si>
  <si>
    <t>Decimination Span</t>
  </si>
  <si>
    <t>NOTES:</t>
  </si>
  <si>
    <t>COMPUTATION TIME IN CYCLES</t>
  </si>
  <si>
    <t>Max Calculate Mixer per Sample</t>
  </si>
  <si>
    <t>Max FIFO to LBM Memory Transfer</t>
  </si>
  <si>
    <t>Max Calculate Mixer Results</t>
  </si>
  <si>
    <t>FIR LPF Number of Taps</t>
  </si>
  <si>
    <t>Max Calculate Polyphase FIR LPF</t>
  </si>
  <si>
    <t>Firmware Flow:</t>
  </si>
  <si>
    <t>Decimation Factor (M)</t>
  </si>
  <si>
    <t>Step 3. Free memory allocated in step 1</t>
  </si>
  <si>
    <t>Step 1. Allocate memory and read from FIFO to LBM MxN number of samples per FFT Frame</t>
  </si>
  <si>
    <t>Max LBM Allocated RAM Buffer</t>
  </si>
  <si>
    <t>Step 2. Allocate memory for real and imiganary each a float array of (MxN) and peform digial mixing (At this point this is Max LBM Allocated RAM Buffer)</t>
  </si>
  <si>
    <t>Step 4. Allocated memory for real and imiganary Decimination each a float of size N and Calculate Polyphase FIR LPF</t>
  </si>
  <si>
    <t>Step 5. Free memory from step 2</t>
  </si>
  <si>
    <t>Max Calculate Apply Window</t>
  </si>
  <si>
    <t>Max Caluclate Apply FFT Window</t>
  </si>
  <si>
    <t>Max Calculate KISS FFT kiss_fft()</t>
  </si>
  <si>
    <t>Step 6. Apply Hann Window to decimated array</t>
  </si>
  <si>
    <t>Step 7. Calculate KISS FFT</t>
  </si>
  <si>
    <t>Step 8. Free all allocated memory</t>
  </si>
  <si>
    <t>Step 9. Update Display</t>
  </si>
  <si>
    <t>Max Calculate FFT</t>
  </si>
  <si>
    <t>SSD1309 Display Update Time</t>
  </si>
  <si>
    <t>Update SSD1309 Display</t>
  </si>
  <si>
    <t>Acqurie Samples per FFT Frame:</t>
  </si>
  <si>
    <t>Process Samples and Display:</t>
  </si>
  <si>
    <t>Total Time to Process and Display</t>
  </si>
  <si>
    <t>Misc Notes:</t>
  </si>
  <si>
    <t>The multipler of (2) in the "Max Calculate Polyphase FIR LPF" calculation comes from a real and imiginary part</t>
  </si>
  <si>
    <t>Max Calculate Polyphase FIR per 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</si>
</sst>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165" fontId="0" fillId="3" borderId="0" xfId="0" applyNumberFormat="1" applyFill="1"/>
    <xf numFmtId="165" fontId="1" fillId="3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D916-152D-45CF-9630-3802CB91D6B0}">
  <dimension ref="A1:J30"/>
  <sheetViews>
    <sheetView tabSelected="1" workbookViewId="0">
      <selection activeCell="B9" sqref="B9"/>
    </sheetView>
  </sheetViews>
  <sheetFormatPr defaultRowHeight="15" x14ac:dyDescent="0.25"/>
  <cols>
    <col min="1" max="1" width="30.7109375" customWidth="1"/>
    <col min="2" max="4" width="10.7109375" customWidth="1"/>
    <col min="5" max="5" width="30.7109375" customWidth="1"/>
    <col min="6" max="7" width="10.7109375" customWidth="1"/>
    <col min="10" max="10" width="30.7109375" customWidth="1"/>
    <col min="11" max="12" width="10.7109375" customWidth="1"/>
  </cols>
  <sheetData>
    <row r="1" spans="1:10" ht="26.25" x14ac:dyDescent="0.4">
      <c r="A1" s="5" t="s">
        <v>28</v>
      </c>
    </row>
    <row r="3" spans="1:10" x14ac:dyDescent="0.25">
      <c r="A3" s="2" t="s">
        <v>0</v>
      </c>
      <c r="C3" s="2" t="s">
        <v>13</v>
      </c>
      <c r="E3" s="2" t="s">
        <v>31</v>
      </c>
      <c r="G3" s="2" t="s">
        <v>13</v>
      </c>
      <c r="J3" s="2" t="s">
        <v>30</v>
      </c>
    </row>
    <row r="4" spans="1:10" x14ac:dyDescent="0.25">
      <c r="A4" t="s">
        <v>8</v>
      </c>
      <c r="B4" s="1">
        <v>10000000</v>
      </c>
      <c r="C4" t="s">
        <v>1</v>
      </c>
      <c r="E4" t="s">
        <v>33</v>
      </c>
      <c r="F4">
        <v>18</v>
      </c>
      <c r="G4" t="s">
        <v>3</v>
      </c>
      <c r="J4" s="2" t="s">
        <v>37</v>
      </c>
    </row>
    <row r="5" spans="1:10" x14ac:dyDescent="0.25">
      <c r="A5" t="s">
        <v>5</v>
      </c>
      <c r="B5">
        <v>512</v>
      </c>
      <c r="E5" t="s">
        <v>32</v>
      </c>
      <c r="F5">
        <v>24</v>
      </c>
      <c r="G5" t="s">
        <v>3</v>
      </c>
      <c r="J5" t="s">
        <v>40</v>
      </c>
    </row>
    <row r="6" spans="1:10" x14ac:dyDescent="0.25">
      <c r="A6" t="s">
        <v>6</v>
      </c>
      <c r="B6" s="1">
        <v>200000</v>
      </c>
      <c r="C6" t="s">
        <v>1</v>
      </c>
      <c r="E6" t="s">
        <v>60</v>
      </c>
      <c r="F6">
        <v>16</v>
      </c>
      <c r="G6" t="s">
        <v>3</v>
      </c>
      <c r="J6" t="s">
        <v>42</v>
      </c>
    </row>
    <row r="7" spans="1:10" x14ac:dyDescent="0.25">
      <c r="A7" t="s">
        <v>7</v>
      </c>
      <c r="B7" s="1">
        <v>1000000</v>
      </c>
      <c r="C7" t="s">
        <v>1</v>
      </c>
      <c r="E7" t="s">
        <v>45</v>
      </c>
      <c r="F7">
        <v>20</v>
      </c>
      <c r="G7" t="s">
        <v>3</v>
      </c>
      <c r="J7" t="s">
        <v>39</v>
      </c>
    </row>
    <row r="8" spans="1:10" x14ac:dyDescent="0.25">
      <c r="A8" t="s">
        <v>4</v>
      </c>
      <c r="B8" s="1">
        <v>100000000</v>
      </c>
      <c r="C8" t="s">
        <v>1</v>
      </c>
      <c r="E8" t="s">
        <v>47</v>
      </c>
      <c r="F8">
        <v>150</v>
      </c>
      <c r="G8" t="s">
        <v>3</v>
      </c>
      <c r="J8" t="s">
        <v>43</v>
      </c>
    </row>
    <row r="9" spans="1:10" x14ac:dyDescent="0.25">
      <c r="A9" t="s">
        <v>35</v>
      </c>
      <c r="B9" s="3">
        <v>128</v>
      </c>
      <c r="J9" t="s">
        <v>44</v>
      </c>
    </row>
    <row r="10" spans="1:10" x14ac:dyDescent="0.25">
      <c r="J10" t="s">
        <v>48</v>
      </c>
    </row>
    <row r="11" spans="1:10" x14ac:dyDescent="0.25">
      <c r="E11" s="2" t="s">
        <v>2</v>
      </c>
      <c r="J11" t="s">
        <v>49</v>
      </c>
    </row>
    <row r="12" spans="1:10" x14ac:dyDescent="0.25">
      <c r="E12" t="s">
        <v>14</v>
      </c>
      <c r="F12">
        <v>2</v>
      </c>
      <c r="G12" t="s">
        <v>15</v>
      </c>
      <c r="J12" t="s">
        <v>50</v>
      </c>
    </row>
    <row r="13" spans="1:10" x14ac:dyDescent="0.25">
      <c r="E13" t="s">
        <v>20</v>
      </c>
      <c r="F13">
        <v>607.5</v>
      </c>
      <c r="G13" t="s">
        <v>18</v>
      </c>
      <c r="J13" t="s">
        <v>51</v>
      </c>
    </row>
    <row r="14" spans="1:10" x14ac:dyDescent="0.25">
      <c r="E14" t="s">
        <v>19</v>
      </c>
      <c r="F14">
        <v>270</v>
      </c>
      <c r="G14" t="s">
        <v>18</v>
      </c>
      <c r="J14" s="2" t="s">
        <v>58</v>
      </c>
    </row>
    <row r="15" spans="1:10" x14ac:dyDescent="0.25">
      <c r="E15" t="s">
        <v>53</v>
      </c>
      <c r="F15">
        <v>3.778</v>
      </c>
      <c r="G15" t="s">
        <v>27</v>
      </c>
      <c r="J15" t="s">
        <v>59</v>
      </c>
    </row>
    <row r="17" spans="1:7" x14ac:dyDescent="0.25">
      <c r="A17" s="2" t="s">
        <v>17</v>
      </c>
      <c r="E17" s="2" t="s">
        <v>11</v>
      </c>
    </row>
    <row r="18" spans="1:7" x14ac:dyDescent="0.25">
      <c r="A18" t="s">
        <v>38</v>
      </c>
      <c r="B18" s="3">
        <f>0.8*(B4/B6)</f>
        <v>40</v>
      </c>
      <c r="E18" s="6" t="s">
        <v>55</v>
      </c>
    </row>
    <row r="19" spans="1:7" x14ac:dyDescent="0.25">
      <c r="A19" t="s">
        <v>9</v>
      </c>
      <c r="B19" s="3">
        <f>B4/B18</f>
        <v>250000</v>
      </c>
      <c r="C19" t="s">
        <v>1</v>
      </c>
      <c r="E19" s="7" t="s">
        <v>12</v>
      </c>
      <c r="F19" s="12">
        <f>(B21/B4)*1000</f>
        <v>2.048</v>
      </c>
      <c r="G19" s="7" t="s">
        <v>27</v>
      </c>
    </row>
    <row r="20" spans="1:7" x14ac:dyDescent="0.25">
      <c r="A20" t="s">
        <v>29</v>
      </c>
      <c r="B20" s="3">
        <f>B19</f>
        <v>250000</v>
      </c>
      <c r="C20" t="s">
        <v>1</v>
      </c>
      <c r="E20" s="8" t="s">
        <v>56</v>
      </c>
    </row>
    <row r="21" spans="1:7" x14ac:dyDescent="0.25">
      <c r="A21" t="s">
        <v>10</v>
      </c>
      <c r="B21" s="3">
        <f>B5*B18</f>
        <v>20480</v>
      </c>
      <c r="E21" s="9" t="s">
        <v>26</v>
      </c>
      <c r="F21" s="10">
        <f>((F4)*(B21/B8))*1000</f>
        <v>3.6863999999999999</v>
      </c>
      <c r="G21" s="9" t="s">
        <v>27</v>
      </c>
    </row>
    <row r="22" spans="1:7" x14ac:dyDescent="0.25">
      <c r="A22" t="s">
        <v>22</v>
      </c>
      <c r="B22" s="4">
        <f>B19/B5</f>
        <v>488.28125</v>
      </c>
      <c r="C22" t="s">
        <v>1</v>
      </c>
      <c r="E22" s="9" t="s">
        <v>34</v>
      </c>
      <c r="F22" s="10">
        <f>((F5*B21)/B8)*1000</f>
        <v>4.9151999999999996</v>
      </c>
      <c r="G22" s="9" t="s">
        <v>27</v>
      </c>
    </row>
    <row r="23" spans="1:7" x14ac:dyDescent="0.25">
      <c r="E23" s="9" t="s">
        <v>36</v>
      </c>
      <c r="F23" s="10">
        <f>(B5*B9*2*F6/B8)*1000</f>
        <v>20.971520000000002</v>
      </c>
      <c r="G23" s="9" t="s">
        <v>27</v>
      </c>
    </row>
    <row r="24" spans="1:7" x14ac:dyDescent="0.25">
      <c r="E24" s="9" t="s">
        <v>46</v>
      </c>
      <c r="F24" s="10">
        <f>(B5*F7/B8)*1000</f>
        <v>0.10239999999999999</v>
      </c>
      <c r="G24" s="9" t="s">
        <v>27</v>
      </c>
    </row>
    <row r="25" spans="1:7" x14ac:dyDescent="0.25">
      <c r="A25" s="2" t="s">
        <v>16</v>
      </c>
      <c r="E25" s="9" t="s">
        <v>52</v>
      </c>
      <c r="F25" s="10">
        <f>((B5*LOG(B5,2)*F8)/B8)*1000</f>
        <v>6.9119999999999999</v>
      </c>
      <c r="G25" s="9" t="s">
        <v>27</v>
      </c>
    </row>
    <row r="26" spans="1:7" x14ac:dyDescent="0.25">
      <c r="A26" t="s">
        <v>24</v>
      </c>
      <c r="B26" s="4">
        <f>F13-F14</f>
        <v>337.5</v>
      </c>
      <c r="C26" t="s">
        <v>18</v>
      </c>
      <c r="E26" s="9" t="s">
        <v>54</v>
      </c>
      <c r="F26" s="9">
        <f>F15</f>
        <v>3.778</v>
      </c>
      <c r="G26" s="9" t="s">
        <v>27</v>
      </c>
    </row>
    <row r="27" spans="1:7" x14ac:dyDescent="0.25">
      <c r="A27" t="s">
        <v>25</v>
      </c>
      <c r="B27" s="3">
        <f>(B21*F12)/1024</f>
        <v>40</v>
      </c>
      <c r="C27" t="s">
        <v>18</v>
      </c>
      <c r="E27" s="9" t="s">
        <v>57</v>
      </c>
      <c r="F27" s="11">
        <f>SUM(F21:F26)</f>
        <v>40.365520000000004</v>
      </c>
      <c r="G27" s="9" t="s">
        <v>27</v>
      </c>
    </row>
    <row r="28" spans="1:7" x14ac:dyDescent="0.25">
      <c r="A28" t="s">
        <v>21</v>
      </c>
      <c r="B28" s="3">
        <f>TRUNC(B26/B27)</f>
        <v>8</v>
      </c>
    </row>
    <row r="29" spans="1:7" x14ac:dyDescent="0.25">
      <c r="A29" t="s">
        <v>23</v>
      </c>
      <c r="B29" s="4">
        <f>B26-(B27*B28)</f>
        <v>17.5</v>
      </c>
      <c r="C29" t="s">
        <v>18</v>
      </c>
    </row>
    <row r="30" spans="1:7" x14ac:dyDescent="0.25">
      <c r="A30" t="s">
        <v>41</v>
      </c>
      <c r="B30">
        <f>(B27+(4*B21/1024)+(4*B21/1024))</f>
        <v>200</v>
      </c>
      <c r="C3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 Collector</dc:creator>
  <cp:lastModifiedBy>Hab Collector</cp:lastModifiedBy>
  <dcterms:created xsi:type="dcterms:W3CDTF">2026-04-23T09:20:34Z</dcterms:created>
  <dcterms:modified xsi:type="dcterms:W3CDTF">2026-05-04T14:56:28Z</dcterms:modified>
</cp:coreProperties>
</file>